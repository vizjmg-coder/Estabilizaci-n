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2024-2027\ESTABILIZACION\"/>
    </mc:Choice>
  </mc:AlternateContent>
  <xr:revisionPtr revIDLastSave="0" documentId="13_ncr:1_{E7C26763-8CFC-4F6E-9F0A-5D96C9347C81}" xr6:coauthVersionLast="47" xr6:coauthVersionMax="47" xr10:uidLastSave="{00000000-0000-0000-0000-000000000000}"/>
  <bookViews>
    <workbookView xWindow="-110" yWindow="-110" windowWidth="38620" windowHeight="21100" xr2:uid="{992C1E48-A64D-4CFC-9780-00E430023F9B}"/>
  </bookViews>
  <sheets>
    <sheet name="SUBREG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" i="1" l="1"/>
  <c r="P30" i="1" s="1"/>
  <c r="O29" i="1"/>
  <c r="P29" i="1" s="1"/>
  <c r="P28" i="1"/>
  <c r="O2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N31" i="1"/>
  <c r="E43" i="1" s="1"/>
  <c r="O31" i="1" l="1"/>
  <c r="P2" i="1"/>
  <c r="M31" i="1"/>
  <c r="E42" i="1" s="1"/>
  <c r="L31" i="1"/>
  <c r="E41" i="1" s="1"/>
  <c r="K31" i="1"/>
  <c r="E40" i="1" s="1"/>
  <c r="J31" i="1"/>
  <c r="E39" i="1" s="1"/>
  <c r="I31" i="1"/>
  <c r="E38" i="1" s="1"/>
  <c r="H31" i="1"/>
  <c r="E37" i="1" s="1"/>
  <c r="G31" i="1"/>
  <c r="E36" i="1" s="1"/>
  <c r="F31" i="1"/>
  <c r="E35" i="1" s="1"/>
  <c r="E31" i="1"/>
  <c r="E44" i="1" l="1"/>
</calcChain>
</file>

<file path=xl/sharedStrings.xml><?xml version="1.0" encoding="utf-8"?>
<sst xmlns="http://schemas.openxmlformats.org/spreadsheetml/2006/main" count="116" uniqueCount="62">
  <si>
    <t>ID</t>
  </si>
  <si>
    <t>CIRCUITO</t>
  </si>
  <si>
    <t>VARIAS SUBREGIONES</t>
  </si>
  <si>
    <t>SUBREGION</t>
  </si>
  <si>
    <t>LONG_INTERVENIR</t>
  </si>
  <si>
    <t>NORDESTE</t>
  </si>
  <si>
    <t>ORIENTE</t>
  </si>
  <si>
    <t>SUROESTE</t>
  </si>
  <si>
    <t>OCCIDENTE</t>
  </si>
  <si>
    <t>NORTE</t>
  </si>
  <si>
    <t>BAJO CAUCA</t>
  </si>
  <si>
    <t>MAGDALENA MEDIO</t>
  </si>
  <si>
    <t>URABA</t>
  </si>
  <si>
    <t>AREA METROPOLITANA</t>
  </si>
  <si>
    <t>Cáceres - La Chilona</t>
  </si>
  <si>
    <t>No</t>
  </si>
  <si>
    <t>Bajo Cauca</t>
  </si>
  <si>
    <t>La Ye - Yondó</t>
  </si>
  <si>
    <t>Magdalena Medio</t>
  </si>
  <si>
    <t>Caramanta - Cristales - San Roque</t>
  </si>
  <si>
    <t>Nordeste</t>
  </si>
  <si>
    <t>San Rafael - San Roque - Santo Domingo - Alejandría</t>
  </si>
  <si>
    <t>Si</t>
  </si>
  <si>
    <t>Amalfi - Portachuelos - Santa Isabel</t>
  </si>
  <si>
    <t>Remedios - La Y De La Virgen - Puerto Berrío</t>
  </si>
  <si>
    <t>El Guayabo - El Salto - Partidas a Guadalupe</t>
  </si>
  <si>
    <t>Norte</t>
  </si>
  <si>
    <t>Carolina del Príncipe - Angostura</t>
  </si>
  <si>
    <t>Alto del Cardal - Toledo</t>
  </si>
  <si>
    <t>Santa Rosa - Carolina del Príncipe</t>
  </si>
  <si>
    <t>Entrerríos - Labores - San José de la Montana</t>
  </si>
  <si>
    <t>Ebéjico - Heliconia - Medellin</t>
  </si>
  <si>
    <t>Occidente</t>
  </si>
  <si>
    <t>Sopetrán - Horizontes - Belmira</t>
  </si>
  <si>
    <t>Frontino - Nutibara</t>
  </si>
  <si>
    <t>La Quiebra - Santa Ana</t>
  </si>
  <si>
    <t>Oriente</t>
  </si>
  <si>
    <t>San Vicente - El Peñol</t>
  </si>
  <si>
    <t>Abejorral - La Frontera</t>
  </si>
  <si>
    <t>Abejorral - Santa Barbara</t>
  </si>
  <si>
    <t>Sonsón - Aguadas (Puente San Rafael)</t>
  </si>
  <si>
    <t>Titiribi - Armenia</t>
  </si>
  <si>
    <t>Salgar - La Quiebra - Concordia</t>
  </si>
  <si>
    <t>Suroeste</t>
  </si>
  <si>
    <t>Valparaíso - Támesis</t>
  </si>
  <si>
    <t>Andes - San José - Pueblo Rico</t>
  </si>
  <si>
    <t>Mutata - Pavarando</t>
  </si>
  <si>
    <t>Uraba</t>
  </si>
  <si>
    <t>San Pedro de Urabá - Necoclí</t>
  </si>
  <si>
    <t>Urabá</t>
  </si>
  <si>
    <t>San Pedro de Urabá - Arboletes</t>
  </si>
  <si>
    <t>San Pedro - El Tres - Turbo</t>
  </si>
  <si>
    <t>Total</t>
  </si>
  <si>
    <t>Nordeste-Oriente</t>
  </si>
  <si>
    <t>Occidente-Norte</t>
  </si>
  <si>
    <t>Oriente-Suroeste</t>
  </si>
  <si>
    <t>Suroeste-Occidente</t>
  </si>
  <si>
    <t>TOTAL_KM</t>
  </si>
  <si>
    <t>TOTAL_CORREDOR</t>
  </si>
  <si>
    <t>VALIDA_CORREDOR</t>
  </si>
  <si>
    <t>Ebejico - Miserenga</t>
  </si>
  <si>
    <t>Guarne - Yolombal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</si>
</sst>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3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59F62-8580-4324-9FEC-4744B1847378}" name="Tabla1" displayName="Tabla1" ref="A1:P31" totalsRowCount="1" headerRowDxfId="36">
  <autoFilter ref="A1:P30" xr:uid="{79959F62-8580-4324-9FEC-4744B1847378}"/>
  <tableColumns count="16">
    <tableColumn id="1" xr3:uid="{2DDF6464-FA35-4E6B-A8D4-604B53536FCB}" name="ID" totalsRowLabel="Total" dataDxfId="35" totalsRowDxfId="14"/>
    <tableColumn id="2" xr3:uid="{252D02AA-76F1-4674-BC3E-E321B2301326}" name="CIRCUITO"/>
    <tableColumn id="3" xr3:uid="{63C15530-7188-419D-AAC8-5F5437F5D0F5}" name="VARIAS SUBREGIONES" dataDxfId="34" totalsRowDxfId="13"/>
    <tableColumn id="4" xr3:uid="{0471052F-E20E-4CC0-AD69-DFA982149221}" name="SUBREGION" dataDxfId="33" totalsRowDxfId="12"/>
    <tableColumn id="5" xr3:uid="{E2846D97-9BDD-405C-A296-44078D28995F}" name="LONG_INTERVENIR" totalsRowFunction="sum" dataDxfId="32" totalsRowDxfId="11"/>
    <tableColumn id="6" xr3:uid="{CF994989-87BA-4C43-927B-47651ACB9878}" name="NORDESTE" totalsRowFunction="sum" dataDxfId="31" totalsRowDxfId="10"/>
    <tableColumn id="7" xr3:uid="{49F6764D-BCA8-4A0D-8DD8-196BA4AC2F17}" name="ORIENTE" totalsRowFunction="sum" dataDxfId="30" totalsRowDxfId="9"/>
    <tableColumn id="8" xr3:uid="{1D819AFE-D480-4757-98AA-C7E0E276EE7B}" name="SUROESTE" totalsRowFunction="sum" dataDxfId="29" totalsRowDxfId="8"/>
    <tableColumn id="9" xr3:uid="{A2B300BA-2B0F-4D28-88E5-D401EA21556F}" name="OCCIDENTE" totalsRowFunction="sum" dataDxfId="28" totalsRowDxfId="7"/>
    <tableColumn id="10" xr3:uid="{5DBAF28A-372D-48F3-90F9-646EB75B3706}" name="NORTE" totalsRowFunction="sum" dataDxfId="27" totalsRowDxfId="6"/>
    <tableColumn id="11" xr3:uid="{131B2641-15B8-47D1-9401-7B7959D42286}" name="BAJO CAUCA" totalsRowFunction="sum" dataDxfId="26" totalsRowDxfId="5"/>
    <tableColumn id="12" xr3:uid="{66849362-1E03-4AA8-82A2-AED4599B64CB}" name="MAGDALENA MEDIO" totalsRowFunction="sum" dataDxfId="25" totalsRowDxfId="4"/>
    <tableColumn id="13" xr3:uid="{961822E3-A1DD-4A17-A496-E1FBEF0F03F6}" name="URABA" totalsRowFunction="sum" dataDxfId="24" totalsRowDxfId="3"/>
    <tableColumn id="14" xr3:uid="{06AE6F36-D6EE-4C5D-904D-D33EA883F354}" name="AREA METROPOLITANA" totalsRowFunction="count" dataDxfId="23" totalsRowDxfId="2"/>
    <tableColumn id="15" xr3:uid="{BED935E9-8984-4DEC-A927-B1F9B5961201}" name="TOTAL_CORREDOR" totalsRowFunction="sum" dataDxfId="22" totalsRowDxfId="1">
      <calculatedColumnFormula>SUM(Tabla1[[#This Row],[NORDESTE]:[AREA METROPOLITANA]])</calculatedColumnFormula>
    </tableColumn>
    <tableColumn id="16" xr3:uid="{34403A11-6844-442F-A723-26C22C3DE467}" name="VALIDA_CORREDOR" dataDxfId="21" totalsRowDxfId="0">
      <calculatedColumnFormula>Tabla1[[#This Row],[LONG_INTERVENIR]]-Tabla1[[#This Row],[TOTAL_CORREDOR]]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A0917B-C97F-451A-BE07-73E77AE9DB35}" name="Tabla2" displayName="Tabla2" ref="D34:E44" totalsRowCount="1" headerRowDxfId="20" dataDxfId="19">
  <autoFilter ref="D34:E43" xr:uid="{B5A0917B-C97F-451A-BE07-73E77AE9DB35}"/>
  <tableColumns count="2">
    <tableColumn id="1" xr3:uid="{27CB3702-9A40-4567-91FC-CFD3030DE073}" name="SUBREGION" totalsRowLabel="Total" dataDxfId="18" totalsRowDxfId="17"/>
    <tableColumn id="2" xr3:uid="{6C7D8A8D-8284-4F5B-862C-F2790EBA4BA3}" name="TOTAL_KM" totalsRowFunction="sum" dataDxfId="16" totalsRowDxfId="15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0E45-FA73-41B9-A438-AB047B3E58EE}">
  <dimension ref="A1:P44"/>
  <sheetViews>
    <sheetView tabSelected="1" workbookViewId="0">
      <selection activeCell="G31" sqref="G31"/>
    </sheetView>
  </sheetViews>
  <sheetFormatPr baseColWidth="10" defaultRowHeight="14.5" x14ac:dyDescent="0.35"/>
  <cols>
    <col min="1" max="1" width="7.1796875" style="1" bestFit="1" customWidth="1"/>
    <col min="2" max="2" width="44.6328125" bestFit="1" customWidth="1"/>
    <col min="3" max="3" width="23.7265625" style="1" bestFit="1" customWidth="1"/>
    <col min="4" max="4" width="20.36328125" style="1" bestFit="1" customWidth="1"/>
    <col min="5" max="5" width="21.1796875" style="1" bestFit="1" customWidth="1"/>
    <col min="6" max="6" width="14.26953125" style="1" bestFit="1" customWidth="1"/>
    <col min="7" max="7" width="12.6328125" style="1" bestFit="1" customWidth="1"/>
    <col min="8" max="8" width="13.90625" style="1" bestFit="1" customWidth="1"/>
    <col min="9" max="9" width="15" style="1" bestFit="1" customWidth="1"/>
    <col min="10" max="10" width="11.08984375" style="1" bestFit="1" customWidth="1"/>
    <col min="11" max="11" width="15.90625" style="1" bestFit="1" customWidth="1"/>
    <col min="12" max="12" width="22.7265625" style="1" bestFit="1" customWidth="1"/>
    <col min="13" max="13" width="11.1796875" style="1" bestFit="1" customWidth="1"/>
    <col min="14" max="14" width="25" style="1" bestFit="1" customWidth="1"/>
    <col min="15" max="15" width="21.1796875" bestFit="1" customWidth="1"/>
    <col min="16" max="16" width="22" bestFit="1" customWidth="1"/>
  </cols>
  <sheetData>
    <row r="1" spans="1:16" s="1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58</v>
      </c>
      <c r="P1" s="5" t="s">
        <v>59</v>
      </c>
    </row>
    <row r="2" spans="1:16" x14ac:dyDescent="0.35">
      <c r="A2" s="1">
        <v>1</v>
      </c>
      <c r="B2" t="s">
        <v>14</v>
      </c>
      <c r="C2" s="1" t="s">
        <v>15</v>
      </c>
      <c r="D2" s="1" t="s">
        <v>16</v>
      </c>
      <c r="E2" s="1">
        <v>25</v>
      </c>
      <c r="K2" s="1">
        <v>25</v>
      </c>
      <c r="O2" s="1">
        <f>SUM(Tabla1[[#This Row],[NORDESTE]:[AREA METROPOLITANA]])</f>
        <v>25</v>
      </c>
      <c r="P2" s="1">
        <f>Tabla1[[#This Row],[LONG_INTERVENIR]]-Tabla1[[#This Row],[TOTAL_CORREDOR]]</f>
        <v>0</v>
      </c>
    </row>
    <row r="3" spans="1:16" x14ac:dyDescent="0.35">
      <c r="A3" s="1">
        <v>2</v>
      </c>
      <c r="B3" t="s">
        <v>17</v>
      </c>
      <c r="C3" s="1" t="s">
        <v>15</v>
      </c>
      <c r="D3" s="1" t="s">
        <v>18</v>
      </c>
      <c r="E3" s="1">
        <v>30</v>
      </c>
      <c r="L3" s="1">
        <v>30</v>
      </c>
      <c r="O3" s="1">
        <f>SUM(Tabla1[[#This Row],[NORDESTE]:[AREA METROPOLITANA]])</f>
        <v>30</v>
      </c>
      <c r="P3" s="1">
        <f>Tabla1[[#This Row],[LONG_INTERVENIR]]-Tabla1[[#This Row],[TOTAL_CORREDOR]]</f>
        <v>0</v>
      </c>
    </row>
    <row r="4" spans="1:16" x14ac:dyDescent="0.35">
      <c r="A4" s="1">
        <v>3</v>
      </c>
      <c r="B4" t="s">
        <v>19</v>
      </c>
      <c r="C4" s="1" t="s">
        <v>15</v>
      </c>
      <c r="D4" s="1" t="s">
        <v>20</v>
      </c>
      <c r="E4" s="1">
        <v>20.64</v>
      </c>
      <c r="F4" s="1">
        <v>20.64</v>
      </c>
      <c r="O4" s="1">
        <f>SUM(Tabla1[[#This Row],[NORDESTE]:[AREA METROPOLITANA]])</f>
        <v>20.64</v>
      </c>
      <c r="P4" s="1">
        <f>Tabla1[[#This Row],[LONG_INTERVENIR]]-Tabla1[[#This Row],[TOTAL_CORREDOR]]</f>
        <v>0</v>
      </c>
    </row>
    <row r="5" spans="1:16" x14ac:dyDescent="0.35">
      <c r="A5" s="3">
        <v>4</v>
      </c>
      <c r="B5" s="4" t="s">
        <v>21</v>
      </c>
      <c r="C5" s="3" t="s">
        <v>22</v>
      </c>
      <c r="D5" s="3" t="s">
        <v>53</v>
      </c>
      <c r="E5" s="3">
        <v>25.72</v>
      </c>
      <c r="F5" s="3">
        <v>23.46</v>
      </c>
      <c r="G5" s="3">
        <v>2.2599999999999998</v>
      </c>
      <c r="H5" s="3"/>
      <c r="I5" s="3"/>
      <c r="J5" s="3"/>
      <c r="K5" s="3"/>
      <c r="L5" s="3"/>
      <c r="M5" s="3"/>
      <c r="N5" s="3"/>
      <c r="O5" s="3">
        <f>SUM(Tabla1[[#This Row],[NORDESTE]:[AREA METROPOLITANA]])</f>
        <v>25.72</v>
      </c>
      <c r="P5" s="3">
        <f>Tabla1[[#This Row],[LONG_INTERVENIR]]-Tabla1[[#This Row],[TOTAL_CORREDOR]]</f>
        <v>0</v>
      </c>
    </row>
    <row r="6" spans="1:16" x14ac:dyDescent="0.35">
      <c r="A6" s="1">
        <v>5</v>
      </c>
      <c r="B6" t="s">
        <v>23</v>
      </c>
      <c r="C6" s="1" t="s">
        <v>15</v>
      </c>
      <c r="D6" s="1" t="s">
        <v>20</v>
      </c>
      <c r="E6" s="1">
        <v>10</v>
      </c>
      <c r="F6" s="1">
        <v>10</v>
      </c>
      <c r="O6" s="1">
        <f>SUM(Tabla1[[#This Row],[NORDESTE]:[AREA METROPOLITANA]])</f>
        <v>10</v>
      </c>
      <c r="P6" s="1">
        <f>Tabla1[[#This Row],[LONG_INTERVENIR]]-Tabla1[[#This Row],[TOTAL_CORREDOR]]</f>
        <v>0</v>
      </c>
    </row>
    <row r="7" spans="1:16" x14ac:dyDescent="0.35">
      <c r="A7" s="1">
        <v>6</v>
      </c>
      <c r="B7" t="s">
        <v>24</v>
      </c>
      <c r="C7" s="1" t="s">
        <v>15</v>
      </c>
      <c r="D7" s="1" t="s">
        <v>18</v>
      </c>
      <c r="E7" s="1">
        <v>25</v>
      </c>
      <c r="L7" s="1">
        <v>25</v>
      </c>
      <c r="O7" s="1">
        <f>SUM(Tabla1[[#This Row],[NORDESTE]:[AREA METROPOLITANA]])</f>
        <v>25</v>
      </c>
      <c r="P7" s="1">
        <f>Tabla1[[#This Row],[LONG_INTERVENIR]]-Tabla1[[#This Row],[TOTAL_CORREDOR]]</f>
        <v>0</v>
      </c>
    </row>
    <row r="8" spans="1:16" x14ac:dyDescent="0.35">
      <c r="A8" s="1">
        <v>7</v>
      </c>
      <c r="B8" t="s">
        <v>25</v>
      </c>
      <c r="C8" s="1" t="s">
        <v>15</v>
      </c>
      <c r="D8" s="1" t="s">
        <v>26</v>
      </c>
      <c r="E8" s="1">
        <v>10.61</v>
      </c>
      <c r="J8" s="1">
        <v>10.61</v>
      </c>
      <c r="O8" s="1">
        <f>SUM(Tabla1[[#This Row],[NORDESTE]:[AREA METROPOLITANA]])</f>
        <v>10.61</v>
      </c>
      <c r="P8" s="1">
        <f>Tabla1[[#This Row],[LONG_INTERVENIR]]-Tabla1[[#This Row],[TOTAL_CORREDOR]]</f>
        <v>0</v>
      </c>
    </row>
    <row r="9" spans="1:16" x14ac:dyDescent="0.35">
      <c r="A9" s="1">
        <v>8</v>
      </c>
      <c r="B9" t="s">
        <v>27</v>
      </c>
      <c r="C9" s="1" t="s">
        <v>15</v>
      </c>
      <c r="D9" s="1" t="s">
        <v>26</v>
      </c>
      <c r="E9" s="1">
        <v>13.62</v>
      </c>
      <c r="J9" s="1">
        <v>13.62</v>
      </c>
      <c r="O9" s="1">
        <f>SUM(Tabla1[[#This Row],[NORDESTE]:[AREA METROPOLITANA]])</f>
        <v>13.62</v>
      </c>
      <c r="P9" s="1">
        <f>Tabla1[[#This Row],[LONG_INTERVENIR]]-Tabla1[[#This Row],[TOTAL_CORREDOR]]</f>
        <v>0</v>
      </c>
    </row>
    <row r="10" spans="1:16" x14ac:dyDescent="0.35">
      <c r="A10" s="1">
        <v>9</v>
      </c>
      <c r="B10" t="s">
        <v>28</v>
      </c>
      <c r="C10" s="1" t="s">
        <v>15</v>
      </c>
      <c r="D10" s="1" t="s">
        <v>26</v>
      </c>
      <c r="E10" s="1">
        <v>15</v>
      </c>
      <c r="J10" s="1">
        <v>15</v>
      </c>
      <c r="O10" s="1">
        <f>SUM(Tabla1[[#This Row],[NORDESTE]:[AREA METROPOLITANA]])</f>
        <v>15</v>
      </c>
      <c r="P10" s="1">
        <f>Tabla1[[#This Row],[LONG_INTERVENIR]]-Tabla1[[#This Row],[TOTAL_CORREDOR]]</f>
        <v>0</v>
      </c>
    </row>
    <row r="11" spans="1:16" x14ac:dyDescent="0.35">
      <c r="A11" s="1">
        <v>10</v>
      </c>
      <c r="B11" t="s">
        <v>29</v>
      </c>
      <c r="C11" s="1" t="s">
        <v>15</v>
      </c>
      <c r="D11" s="1" t="s">
        <v>26</v>
      </c>
      <c r="E11" s="1">
        <v>33.67</v>
      </c>
      <c r="J11" s="1">
        <v>33.67</v>
      </c>
      <c r="O11" s="1">
        <f>SUM(Tabla1[[#This Row],[NORDESTE]:[AREA METROPOLITANA]])</f>
        <v>33.67</v>
      </c>
      <c r="P11" s="1">
        <f>Tabla1[[#This Row],[LONG_INTERVENIR]]-Tabla1[[#This Row],[TOTAL_CORREDOR]]</f>
        <v>0</v>
      </c>
    </row>
    <row r="12" spans="1:16" x14ac:dyDescent="0.35">
      <c r="A12" s="1">
        <v>11</v>
      </c>
      <c r="B12" t="s">
        <v>30</v>
      </c>
      <c r="C12" s="1" t="s">
        <v>15</v>
      </c>
      <c r="D12" s="1" t="s">
        <v>26</v>
      </c>
      <c r="E12" s="1">
        <v>39.950000000000003</v>
      </c>
      <c r="J12" s="1">
        <v>39.950000000000003</v>
      </c>
      <c r="O12" s="1">
        <f>SUM(Tabla1[[#This Row],[NORDESTE]:[AREA METROPOLITANA]])</f>
        <v>39.950000000000003</v>
      </c>
      <c r="P12" s="1">
        <f>Tabla1[[#This Row],[LONG_INTERVENIR]]-Tabla1[[#This Row],[TOTAL_CORREDOR]]</f>
        <v>0</v>
      </c>
    </row>
    <row r="13" spans="1:16" x14ac:dyDescent="0.35">
      <c r="A13" s="1">
        <v>12</v>
      </c>
      <c r="B13" t="s">
        <v>31</v>
      </c>
      <c r="C13" s="1" t="s">
        <v>15</v>
      </c>
      <c r="D13" s="1" t="s">
        <v>32</v>
      </c>
      <c r="E13" s="1">
        <v>28.76</v>
      </c>
      <c r="I13" s="1">
        <v>28.76</v>
      </c>
      <c r="O13" s="1">
        <f>SUM(Tabla1[[#This Row],[NORDESTE]:[AREA METROPOLITANA]])</f>
        <v>28.76</v>
      </c>
      <c r="P13" s="1">
        <f>Tabla1[[#This Row],[LONG_INTERVENIR]]-Tabla1[[#This Row],[TOTAL_CORREDOR]]</f>
        <v>0</v>
      </c>
    </row>
    <row r="14" spans="1:16" x14ac:dyDescent="0.35">
      <c r="A14" s="3">
        <v>13</v>
      </c>
      <c r="B14" s="4" t="s">
        <v>33</v>
      </c>
      <c r="C14" s="3" t="s">
        <v>22</v>
      </c>
      <c r="D14" s="3" t="s">
        <v>54</v>
      </c>
      <c r="E14" s="3">
        <v>39.590000000000003</v>
      </c>
      <c r="F14" s="3"/>
      <c r="G14" s="3"/>
      <c r="H14" s="3"/>
      <c r="I14" s="3">
        <v>35.19</v>
      </c>
      <c r="J14" s="3">
        <v>4.4000000000000004</v>
      </c>
      <c r="K14" s="3"/>
      <c r="L14" s="3"/>
      <c r="M14" s="3"/>
      <c r="N14" s="3"/>
      <c r="O14" s="3">
        <f>SUM(Tabla1[[#This Row],[NORDESTE]:[AREA METROPOLITANA]])</f>
        <v>39.589999999999996</v>
      </c>
      <c r="P14" s="3">
        <f>Tabla1[[#This Row],[LONG_INTERVENIR]]-Tabla1[[#This Row],[TOTAL_CORREDOR]]</f>
        <v>0</v>
      </c>
    </row>
    <row r="15" spans="1:16" x14ac:dyDescent="0.35">
      <c r="A15" s="1">
        <v>14</v>
      </c>
      <c r="B15" t="s">
        <v>34</v>
      </c>
      <c r="C15" s="1" t="s">
        <v>15</v>
      </c>
      <c r="D15" s="1" t="s">
        <v>32</v>
      </c>
      <c r="E15" s="1">
        <v>25</v>
      </c>
      <c r="I15" s="1">
        <v>25</v>
      </c>
      <c r="O15" s="1">
        <f>SUM(Tabla1[[#This Row],[NORDESTE]:[AREA METROPOLITANA]])</f>
        <v>25</v>
      </c>
      <c r="P15" s="1">
        <f>Tabla1[[#This Row],[LONG_INTERVENIR]]-Tabla1[[#This Row],[TOTAL_CORREDOR]]</f>
        <v>0</v>
      </c>
    </row>
    <row r="16" spans="1:16" x14ac:dyDescent="0.35">
      <c r="A16" s="1">
        <v>15</v>
      </c>
      <c r="B16" t="s">
        <v>35</v>
      </c>
      <c r="C16" s="1" t="s">
        <v>15</v>
      </c>
      <c r="D16" s="1" t="s">
        <v>36</v>
      </c>
      <c r="E16" s="1">
        <v>5.33</v>
      </c>
      <c r="G16" s="1">
        <v>5.33</v>
      </c>
      <c r="O16" s="1">
        <f>SUM(Tabla1[[#This Row],[NORDESTE]:[AREA METROPOLITANA]])</f>
        <v>5.33</v>
      </c>
      <c r="P16" s="1">
        <f>Tabla1[[#This Row],[LONG_INTERVENIR]]-Tabla1[[#This Row],[TOTAL_CORREDOR]]</f>
        <v>0</v>
      </c>
    </row>
    <row r="17" spans="1:16" x14ac:dyDescent="0.35">
      <c r="A17" s="1">
        <v>16</v>
      </c>
      <c r="B17" t="s">
        <v>37</v>
      </c>
      <c r="C17" s="1" t="s">
        <v>15</v>
      </c>
      <c r="D17" s="1" t="s">
        <v>36</v>
      </c>
      <c r="E17" s="1">
        <v>18.149999999999999</v>
      </c>
      <c r="G17" s="1">
        <v>18.149999999999999</v>
      </c>
      <c r="O17" s="1">
        <f>SUM(Tabla1[[#This Row],[NORDESTE]:[AREA METROPOLITANA]])</f>
        <v>18.149999999999999</v>
      </c>
      <c r="P17" s="1">
        <f>Tabla1[[#This Row],[LONG_INTERVENIR]]-Tabla1[[#This Row],[TOTAL_CORREDOR]]</f>
        <v>0</v>
      </c>
    </row>
    <row r="18" spans="1:16" x14ac:dyDescent="0.35">
      <c r="A18" s="1">
        <v>17</v>
      </c>
      <c r="B18" t="s">
        <v>38</v>
      </c>
      <c r="C18" s="1" t="s">
        <v>15</v>
      </c>
      <c r="D18" s="1" t="s">
        <v>36</v>
      </c>
      <c r="E18" s="1">
        <v>25.49</v>
      </c>
      <c r="G18" s="1">
        <v>25.49</v>
      </c>
      <c r="O18" s="1">
        <f>SUM(Tabla1[[#This Row],[NORDESTE]:[AREA METROPOLITANA]])</f>
        <v>25.49</v>
      </c>
      <c r="P18" s="1">
        <f>Tabla1[[#This Row],[LONG_INTERVENIR]]-Tabla1[[#This Row],[TOTAL_CORREDOR]]</f>
        <v>0</v>
      </c>
    </row>
    <row r="19" spans="1:16" x14ac:dyDescent="0.35">
      <c r="A19" s="3">
        <v>18</v>
      </c>
      <c r="B19" s="4" t="s">
        <v>39</v>
      </c>
      <c r="C19" s="3" t="s">
        <v>22</v>
      </c>
      <c r="D19" s="3" t="s">
        <v>55</v>
      </c>
      <c r="E19" s="3">
        <v>26.2</v>
      </c>
      <c r="F19" s="3"/>
      <c r="G19" s="3">
        <v>23.77</v>
      </c>
      <c r="H19" s="3">
        <v>2.4300000000000002</v>
      </c>
      <c r="I19" s="3"/>
      <c r="J19" s="3"/>
      <c r="K19" s="3"/>
      <c r="L19" s="3"/>
      <c r="M19" s="3"/>
      <c r="N19" s="3"/>
      <c r="O19" s="3">
        <f>SUM(Tabla1[[#This Row],[NORDESTE]:[AREA METROPOLITANA]])</f>
        <v>26.2</v>
      </c>
      <c r="P19" s="3">
        <f>Tabla1[[#This Row],[LONG_INTERVENIR]]-Tabla1[[#This Row],[TOTAL_CORREDOR]]</f>
        <v>0</v>
      </c>
    </row>
    <row r="20" spans="1:16" x14ac:dyDescent="0.35">
      <c r="A20" s="1">
        <v>19</v>
      </c>
      <c r="B20" t="s">
        <v>40</v>
      </c>
      <c r="C20" s="1" t="s">
        <v>15</v>
      </c>
      <c r="D20" s="1" t="s">
        <v>36</v>
      </c>
      <c r="E20" s="1">
        <v>19.22</v>
      </c>
      <c r="G20" s="1">
        <v>19.22</v>
      </c>
      <c r="O20" s="1">
        <f>SUM(Tabla1[[#This Row],[NORDESTE]:[AREA METROPOLITANA]])</f>
        <v>19.22</v>
      </c>
      <c r="P20" s="1">
        <f>Tabla1[[#This Row],[LONG_INTERVENIR]]-Tabla1[[#This Row],[TOTAL_CORREDOR]]</f>
        <v>0</v>
      </c>
    </row>
    <row r="21" spans="1:16" x14ac:dyDescent="0.35">
      <c r="A21" s="3">
        <v>20</v>
      </c>
      <c r="B21" s="4" t="s">
        <v>41</v>
      </c>
      <c r="C21" s="3" t="s">
        <v>22</v>
      </c>
      <c r="D21" s="3" t="s">
        <v>56</v>
      </c>
      <c r="E21" s="3">
        <v>10</v>
      </c>
      <c r="F21" s="3"/>
      <c r="G21" s="3"/>
      <c r="H21" s="3">
        <v>5</v>
      </c>
      <c r="I21" s="3">
        <v>5</v>
      </c>
      <c r="J21" s="3"/>
      <c r="K21" s="3"/>
      <c r="L21" s="3"/>
      <c r="M21" s="3"/>
      <c r="N21" s="3"/>
      <c r="O21" s="3">
        <f>SUM(Tabla1[[#This Row],[NORDESTE]:[AREA METROPOLITANA]])</f>
        <v>10</v>
      </c>
      <c r="P21" s="3">
        <f>Tabla1[[#This Row],[LONG_INTERVENIR]]-Tabla1[[#This Row],[TOTAL_CORREDOR]]</f>
        <v>0</v>
      </c>
    </row>
    <row r="22" spans="1:16" x14ac:dyDescent="0.35">
      <c r="A22" s="1">
        <v>21</v>
      </c>
      <c r="B22" t="s">
        <v>42</v>
      </c>
      <c r="C22" s="1" t="s">
        <v>15</v>
      </c>
      <c r="D22" s="1" t="s">
        <v>43</v>
      </c>
      <c r="E22" s="1">
        <v>15.93</v>
      </c>
      <c r="H22" s="1">
        <v>15.93</v>
      </c>
      <c r="O22" s="1">
        <f>SUM(Tabla1[[#This Row],[NORDESTE]:[AREA METROPOLITANA]])</f>
        <v>15.93</v>
      </c>
      <c r="P22" s="1">
        <f>Tabla1[[#This Row],[LONG_INTERVENIR]]-Tabla1[[#This Row],[TOTAL_CORREDOR]]</f>
        <v>0</v>
      </c>
    </row>
    <row r="23" spans="1:16" x14ac:dyDescent="0.35">
      <c r="A23" s="1">
        <v>22</v>
      </c>
      <c r="B23" t="s">
        <v>44</v>
      </c>
      <c r="C23" s="1" t="s">
        <v>15</v>
      </c>
      <c r="D23" s="1" t="s">
        <v>43</v>
      </c>
      <c r="E23" s="1">
        <v>22.51</v>
      </c>
      <c r="H23" s="1">
        <v>22.51</v>
      </c>
      <c r="O23" s="1">
        <f>SUM(Tabla1[[#This Row],[NORDESTE]:[AREA METROPOLITANA]])</f>
        <v>22.51</v>
      </c>
      <c r="P23" s="1">
        <f>Tabla1[[#This Row],[LONG_INTERVENIR]]-Tabla1[[#This Row],[TOTAL_CORREDOR]]</f>
        <v>0</v>
      </c>
    </row>
    <row r="24" spans="1:16" x14ac:dyDescent="0.35">
      <c r="A24" s="1">
        <v>23</v>
      </c>
      <c r="B24" t="s">
        <v>45</v>
      </c>
      <c r="C24" s="1" t="s">
        <v>15</v>
      </c>
      <c r="D24" s="1" t="s">
        <v>43</v>
      </c>
      <c r="E24" s="1">
        <v>22.39</v>
      </c>
      <c r="H24" s="1">
        <v>22.39</v>
      </c>
      <c r="O24" s="1">
        <f>SUM(Tabla1[[#This Row],[NORDESTE]:[AREA METROPOLITANA]])</f>
        <v>22.39</v>
      </c>
      <c r="P24" s="1">
        <f>Tabla1[[#This Row],[LONG_INTERVENIR]]-Tabla1[[#This Row],[TOTAL_CORREDOR]]</f>
        <v>0</v>
      </c>
    </row>
    <row r="25" spans="1:16" x14ac:dyDescent="0.35">
      <c r="A25" s="1">
        <v>24</v>
      </c>
      <c r="B25" t="s">
        <v>46</v>
      </c>
      <c r="C25" s="1" t="s">
        <v>15</v>
      </c>
      <c r="D25" s="1" t="s">
        <v>47</v>
      </c>
      <c r="E25" s="1">
        <v>10</v>
      </c>
      <c r="M25" s="1">
        <v>10</v>
      </c>
      <c r="O25" s="1">
        <f>SUM(Tabla1[[#This Row],[NORDESTE]:[AREA METROPOLITANA]])</f>
        <v>10</v>
      </c>
      <c r="P25" s="1">
        <f>Tabla1[[#This Row],[LONG_INTERVENIR]]-Tabla1[[#This Row],[TOTAL_CORREDOR]]</f>
        <v>0</v>
      </c>
    </row>
    <row r="26" spans="1:16" x14ac:dyDescent="0.35">
      <c r="A26" s="1">
        <v>25</v>
      </c>
      <c r="B26" t="s">
        <v>48</v>
      </c>
      <c r="C26" s="1" t="s">
        <v>15</v>
      </c>
      <c r="D26" s="1" t="s">
        <v>49</v>
      </c>
      <c r="E26" s="1">
        <v>58.65</v>
      </c>
      <c r="M26" s="1">
        <v>58.65</v>
      </c>
      <c r="O26" s="1">
        <f>SUM(Tabla1[[#This Row],[NORDESTE]:[AREA METROPOLITANA]])</f>
        <v>58.65</v>
      </c>
      <c r="P26" s="1">
        <f>Tabla1[[#This Row],[LONG_INTERVENIR]]-Tabla1[[#This Row],[TOTAL_CORREDOR]]</f>
        <v>0</v>
      </c>
    </row>
    <row r="27" spans="1:16" x14ac:dyDescent="0.35">
      <c r="A27" s="1">
        <v>26</v>
      </c>
      <c r="B27" t="s">
        <v>50</v>
      </c>
      <c r="C27" s="1" t="s">
        <v>15</v>
      </c>
      <c r="D27" s="1" t="s">
        <v>47</v>
      </c>
      <c r="E27" s="1">
        <v>30</v>
      </c>
      <c r="M27" s="1">
        <v>30</v>
      </c>
      <c r="O27" s="1">
        <f>SUM(Tabla1[[#This Row],[NORDESTE]:[AREA METROPOLITANA]])</f>
        <v>30</v>
      </c>
      <c r="P27" s="1">
        <f>Tabla1[[#This Row],[LONG_INTERVENIR]]-Tabla1[[#This Row],[TOTAL_CORREDOR]]</f>
        <v>0</v>
      </c>
    </row>
    <row r="28" spans="1:16" x14ac:dyDescent="0.35">
      <c r="A28" s="1">
        <v>27</v>
      </c>
      <c r="B28" t="s">
        <v>51</v>
      </c>
      <c r="C28" s="1" t="s">
        <v>15</v>
      </c>
      <c r="D28" s="1" t="s">
        <v>47</v>
      </c>
      <c r="E28" s="1">
        <v>22</v>
      </c>
      <c r="M28" s="1">
        <v>22</v>
      </c>
      <c r="O28" s="1">
        <f>SUM(Tabla1[[#This Row],[NORDESTE]:[AREA METROPOLITANA]])</f>
        <v>22</v>
      </c>
      <c r="P28" s="1">
        <f>Tabla1[[#This Row],[LONG_INTERVENIR]]-Tabla1[[#This Row],[TOTAL_CORREDOR]]</f>
        <v>0</v>
      </c>
    </row>
    <row r="29" spans="1:16" x14ac:dyDescent="0.35">
      <c r="A29" s="1">
        <v>28</v>
      </c>
      <c r="B29" t="s">
        <v>60</v>
      </c>
      <c r="C29" s="1" t="s">
        <v>15</v>
      </c>
      <c r="D29" s="1" t="s">
        <v>32</v>
      </c>
      <c r="E29" s="1">
        <v>1</v>
      </c>
      <c r="I29" s="1">
        <v>1</v>
      </c>
      <c r="O29" s="6">
        <f>SUM(Tabla1[[#This Row],[NORDESTE]:[AREA METROPOLITANA]])</f>
        <v>1</v>
      </c>
      <c r="P29" s="6">
        <f>Tabla1[[#This Row],[LONG_INTERVENIR]]-Tabla1[[#This Row],[TOTAL_CORREDOR]]</f>
        <v>0</v>
      </c>
    </row>
    <row r="30" spans="1:16" x14ac:dyDescent="0.35">
      <c r="A30" s="1">
        <v>29</v>
      </c>
      <c r="B30" t="s">
        <v>61</v>
      </c>
      <c r="C30" s="1" t="s">
        <v>15</v>
      </c>
      <c r="D30" s="1" t="s">
        <v>36</v>
      </c>
      <c r="E30" s="1">
        <v>5</v>
      </c>
      <c r="G30" s="1">
        <v>5</v>
      </c>
      <c r="O30" s="6">
        <f>SUM(Tabla1[[#This Row],[NORDESTE]:[AREA METROPOLITANA]])</f>
        <v>5</v>
      </c>
      <c r="P30" s="6">
        <f>Tabla1[[#This Row],[LONG_INTERVENIR]]-Tabla1[[#This Row],[TOTAL_CORREDOR]]</f>
        <v>0</v>
      </c>
    </row>
    <row r="31" spans="1:16" x14ac:dyDescent="0.35">
      <c r="A31" s="1" t="s">
        <v>52</v>
      </c>
      <c r="E31" s="1">
        <f>SUBTOTAL(109,Tabla1[LONG_INTERVENIR])</f>
        <v>634.42999999999995</v>
      </c>
      <c r="F31" s="1">
        <f>SUBTOTAL(109,Tabla1[NORDESTE])</f>
        <v>54.1</v>
      </c>
      <c r="G31" s="1">
        <f>SUBTOTAL(109,Tabla1[ORIENTE])</f>
        <v>99.22</v>
      </c>
      <c r="H31" s="1">
        <f>SUBTOTAL(109,Tabla1[SUROESTE])</f>
        <v>68.260000000000005</v>
      </c>
      <c r="I31" s="1">
        <f>SUBTOTAL(109,Tabla1[OCCIDENTE])</f>
        <v>94.95</v>
      </c>
      <c r="J31" s="1">
        <f>SUBTOTAL(109,Tabla1[NORTE])</f>
        <v>117.25000000000001</v>
      </c>
      <c r="K31" s="1">
        <f>SUBTOTAL(109,Tabla1[BAJO CAUCA])</f>
        <v>25</v>
      </c>
      <c r="L31" s="1">
        <f>SUBTOTAL(109,Tabla1[MAGDALENA MEDIO])</f>
        <v>55</v>
      </c>
      <c r="M31" s="1">
        <f>SUBTOTAL(109,Tabla1[URABA])</f>
        <v>120.65</v>
      </c>
      <c r="N31" s="1">
        <f>SUBTOTAL(103,Tabla1[AREA METROPOLITANA])</f>
        <v>0</v>
      </c>
      <c r="O31" s="1">
        <f>SUBTOTAL(109,Tabla1[TOTAL_CORREDOR])</f>
        <v>634.42999999999995</v>
      </c>
      <c r="P31" s="1"/>
    </row>
    <row r="34" spans="4:5" x14ac:dyDescent="0.35">
      <c r="D34" s="1" t="s">
        <v>3</v>
      </c>
      <c r="E34" s="1" t="s">
        <v>57</v>
      </c>
    </row>
    <row r="35" spans="4:5" x14ac:dyDescent="0.35">
      <c r="D35" s="2" t="s">
        <v>5</v>
      </c>
      <c r="E35" s="1">
        <f>Tabla1[[#Totals],[NORDESTE]]</f>
        <v>54.1</v>
      </c>
    </row>
    <row r="36" spans="4:5" x14ac:dyDescent="0.35">
      <c r="D36" s="2" t="s">
        <v>6</v>
      </c>
      <c r="E36" s="1">
        <f>Tabla1[[#Totals],[ORIENTE]]</f>
        <v>99.22</v>
      </c>
    </row>
    <row r="37" spans="4:5" x14ac:dyDescent="0.35">
      <c r="D37" s="2" t="s">
        <v>7</v>
      </c>
      <c r="E37" s="1">
        <f>Tabla1[[#Totals],[SUROESTE]]</f>
        <v>68.260000000000005</v>
      </c>
    </row>
    <row r="38" spans="4:5" x14ac:dyDescent="0.35">
      <c r="D38" s="2" t="s">
        <v>8</v>
      </c>
      <c r="E38" s="1">
        <f>Tabla1[[#Totals],[OCCIDENTE]]</f>
        <v>94.95</v>
      </c>
    </row>
    <row r="39" spans="4:5" x14ac:dyDescent="0.35">
      <c r="D39" s="2" t="s">
        <v>9</v>
      </c>
      <c r="E39" s="1">
        <f>Tabla1[[#Totals],[NORTE]]</f>
        <v>117.25000000000001</v>
      </c>
    </row>
    <row r="40" spans="4:5" x14ac:dyDescent="0.35">
      <c r="D40" s="2" t="s">
        <v>10</v>
      </c>
      <c r="E40" s="1">
        <f>Tabla1[[#Totals],[BAJO CAUCA]]</f>
        <v>25</v>
      </c>
    </row>
    <row r="41" spans="4:5" x14ac:dyDescent="0.35">
      <c r="D41" s="2" t="s">
        <v>11</v>
      </c>
      <c r="E41" s="1">
        <f>Tabla1[[#Totals],[MAGDALENA MEDIO]]</f>
        <v>55</v>
      </c>
    </row>
    <row r="42" spans="4:5" x14ac:dyDescent="0.35">
      <c r="D42" s="2" t="s">
        <v>12</v>
      </c>
      <c r="E42" s="1">
        <f>Tabla1[[#Totals],[URABA]]</f>
        <v>120.65</v>
      </c>
    </row>
    <row r="43" spans="4:5" x14ac:dyDescent="0.35">
      <c r="D43" s="2" t="s">
        <v>13</v>
      </c>
      <c r="E43" s="1">
        <f>Tabla1[[#Totals],[AREA METROPOLITANA]]</f>
        <v>0</v>
      </c>
    </row>
    <row r="44" spans="4:5" x14ac:dyDescent="0.35">
      <c r="D44" s="1" t="s">
        <v>52</v>
      </c>
      <c r="E44" s="1">
        <f>SUBTOTAL(109,Tabla2[TOTAL_KM])</f>
        <v>634.42999999999995</v>
      </c>
    </row>
  </sheetData>
  <pageMargins left="0.7" right="0.7" top="0.75" bottom="0.75" header="0.3" footer="0.3"/>
  <pageSetup orientation="portrait" horizontalDpi="4294967295" verticalDpi="4294967295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SUBREGIONES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ALBERTO QUICENO GUTIERREZ</dc:creator>
  <cp:lastModifiedBy>CRISTIAN ALBERTO QUICENO GUTIERREZ</cp:lastModifiedBy>
  <dcterms:created xsi:type="dcterms:W3CDTF">2025-05-27T14:45:24Z</dcterms:created>
  <dcterms:modified xsi:type="dcterms:W3CDTF">2025-07-28T14:39:29Z</dcterms:modified>
</cp:coreProperties>
</file>